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 30\Excel\Prac\Day-10\"/>
    </mc:Choice>
  </mc:AlternateContent>
  <xr:revisionPtr revIDLastSave="0" documentId="13_ncr:1_{0F49EF8F-5EE5-4C17-82B0-851B72C2E2F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data" sheetId="1" r:id="rId1"/>
    <sheet name="math basic" sheetId="2" r:id="rId2"/>
    <sheet name="MAth basic 2" sheetId="3" r:id="rId3"/>
    <sheet name="Text method" sheetId="5" r:id="rId4"/>
    <sheet name="Sheet1" sheetId="6" r:id="rId5"/>
    <sheet name="promp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5" l="1" a="1"/>
  <c r="M35" i="5" s="1"/>
  <c r="M32" i="5"/>
  <c r="M30" i="5"/>
  <c r="M28" i="5"/>
  <c r="M26" i="5"/>
  <c r="M24" i="5"/>
  <c r="M22" i="5"/>
  <c r="M20" i="5"/>
  <c r="M18" i="5"/>
  <c r="M16" i="5"/>
  <c r="M13" i="5"/>
  <c r="M14" i="5"/>
  <c r="M9" i="5"/>
  <c r="M11" i="5" s="1"/>
  <c r="M4" i="5"/>
  <c r="M6" i="5"/>
  <c r="U7" i="3"/>
  <c r="V7" i="3" s="1"/>
  <c r="U8" i="3"/>
  <c r="V8" i="3" s="1"/>
  <c r="U6" i="3"/>
  <c r="V6" i="3" s="1"/>
  <c r="U9" i="3"/>
  <c r="N11" i="3"/>
  <c r="N7" i="3"/>
  <c r="N8" i="3"/>
  <c r="N9" i="3"/>
  <c r="N10" i="3"/>
  <c r="N6" i="3"/>
  <c r="M7" i="3"/>
  <c r="M8" i="3"/>
  <c r="O8" i="3" s="1"/>
  <c r="S8" i="3" s="1"/>
  <c r="M9" i="3"/>
  <c r="O9" i="3" s="1"/>
  <c r="S9" i="3" s="1"/>
  <c r="M10" i="3"/>
  <c r="O10" i="3" s="1"/>
  <c r="S10" i="3" s="1"/>
  <c r="M11" i="3"/>
  <c r="O11" i="3" s="1"/>
  <c r="S11" i="3" s="1"/>
  <c r="M6" i="3"/>
  <c r="E14" i="3"/>
  <c r="E13" i="3"/>
  <c r="E12" i="3"/>
  <c r="O6" i="3"/>
  <c r="W5" i="3" s="1" a="1"/>
  <c r="W5" i="3" s="1"/>
  <c r="O7" i="3"/>
  <c r="S7" i="3" s="1"/>
  <c r="H4" i="2"/>
  <c r="G4" i="2"/>
  <c r="F4" i="2"/>
  <c r="E4" i="2"/>
  <c r="R2" i="3" l="1"/>
  <c r="S6" i="3"/>
  <c r="S12" i="3" s="1"/>
  <c r="P11" i="3"/>
  <c r="Q6" i="3"/>
  <c r="P10" i="3"/>
  <c r="P7" i="3"/>
  <c r="Q9" i="3"/>
  <c r="P8" i="3"/>
  <c r="Q11" i="3"/>
  <c r="Q10" i="3"/>
  <c r="Q8" i="3"/>
  <c r="Q7" i="3"/>
  <c r="P9" i="3"/>
  <c r="P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<sst xmlns="http://schemas.openxmlformats.org/spreadsheetml/2006/main" count="165" uniqueCount="129">
  <si>
    <t>A1-ARC</t>
  </si>
  <si>
    <t>ID</t>
  </si>
  <si>
    <t>Name</t>
  </si>
  <si>
    <t>Qty</t>
  </si>
  <si>
    <t>user1</t>
  </si>
  <si>
    <t>user2</t>
  </si>
  <si>
    <t>user3</t>
  </si>
  <si>
    <t>user4</t>
  </si>
  <si>
    <t>user5</t>
  </si>
  <si>
    <t>Header</t>
  </si>
  <si>
    <t>Row</t>
  </si>
  <si>
    <t>info</t>
  </si>
  <si>
    <t>this is a info that user1 have purchsed 5 qty</t>
  </si>
  <si>
    <t>this is a info that user2 have purchsed 10 qty</t>
  </si>
  <si>
    <t>this is a info that user3 have purchsed 15 qty</t>
  </si>
  <si>
    <t>this is a info that user4 have purchsed 20 qty</t>
  </si>
  <si>
    <t>this is a info that user5 have purchsed 50 qty</t>
  </si>
  <si>
    <t>s</t>
  </si>
  <si>
    <t>a</t>
  </si>
  <si>
    <t>b</t>
  </si>
  <si>
    <t>c</t>
  </si>
  <si>
    <t>user</t>
  </si>
  <si>
    <t>present</t>
  </si>
  <si>
    <t>yes</t>
  </si>
  <si>
    <t>no</t>
  </si>
  <si>
    <t>d</t>
  </si>
  <si>
    <t>add</t>
  </si>
  <si>
    <t>sub</t>
  </si>
  <si>
    <t>div</t>
  </si>
  <si>
    <t>mul</t>
  </si>
  <si>
    <t>8th</t>
  </si>
  <si>
    <t>maths</t>
  </si>
  <si>
    <t>integration is what ?</t>
  </si>
  <si>
    <t>price</t>
  </si>
  <si>
    <t>from</t>
  </si>
  <si>
    <t xml:space="preserve"> to</t>
  </si>
  <si>
    <t>time</t>
  </si>
  <si>
    <t>cmp</t>
  </si>
  <si>
    <t>seat_no</t>
  </si>
  <si>
    <t>customer_name</t>
  </si>
  <si>
    <t>baggage_weight</t>
  </si>
  <si>
    <t>seat_class</t>
  </si>
  <si>
    <t>ticket_no</t>
  </si>
  <si>
    <t>cust1</t>
  </si>
  <si>
    <t>cust2</t>
  </si>
  <si>
    <t>ARC_cust</t>
  </si>
  <si>
    <t>Vigo_cust</t>
  </si>
  <si>
    <t>arc2</t>
  </si>
  <si>
    <t>DB_user1</t>
  </si>
  <si>
    <t>P</t>
  </si>
  <si>
    <t>E</t>
  </si>
  <si>
    <t>L</t>
  </si>
  <si>
    <t>p</t>
  </si>
  <si>
    <t>T-101</t>
  </si>
  <si>
    <t>T-102</t>
  </si>
  <si>
    <t>T-103</t>
  </si>
  <si>
    <t>T-104</t>
  </si>
  <si>
    <t>T-105</t>
  </si>
  <si>
    <t>T-106</t>
  </si>
  <si>
    <t>NAGPUR</t>
  </si>
  <si>
    <t>DELHI</t>
  </si>
  <si>
    <t>MUMBAI</t>
  </si>
  <si>
    <t>PUNE</t>
  </si>
  <si>
    <t>DUBAI</t>
  </si>
  <si>
    <t>hyderabad</t>
  </si>
  <si>
    <t>indigo</t>
  </si>
  <si>
    <t>AIR INDIA</t>
  </si>
  <si>
    <t>qatar airlines</t>
  </si>
  <si>
    <t>TAX</t>
  </si>
  <si>
    <t>Total_price</t>
  </si>
  <si>
    <t>min</t>
  </si>
  <si>
    <t>max</t>
  </si>
  <si>
    <t>avg</t>
  </si>
  <si>
    <t>Rank</t>
  </si>
  <si>
    <t>Rank eq</t>
  </si>
  <si>
    <t>GST</t>
  </si>
  <si>
    <t>qty</t>
  </si>
  <si>
    <t>final price</t>
  </si>
  <si>
    <t>[1,2,a,b]</t>
  </si>
  <si>
    <t>[1,2,3]</t>
  </si>
  <si>
    <t>Provide all text method and function in Excel with example .</t>
  </si>
  <si>
    <t>Give list in ordered format</t>
  </si>
  <si>
    <t>should have 2-3 line of explanation of each method or function</t>
  </si>
  <si>
    <t>Method</t>
  </si>
  <si>
    <t>value</t>
  </si>
  <si>
    <t>output</t>
  </si>
  <si>
    <t>CHAR</t>
  </si>
  <si>
    <t>Join /concat</t>
  </si>
  <si>
    <t>ARC</t>
  </si>
  <si>
    <t>Sagar</t>
  </si>
  <si>
    <t>Clean</t>
  </si>
  <si>
    <t>EXACT</t>
  </si>
  <si>
    <t>Sagar-ARC</t>
  </si>
  <si>
    <t>Find</t>
  </si>
  <si>
    <t>FIND("A",J13)</t>
  </si>
  <si>
    <t>FIND("a",J13,3)</t>
  </si>
  <si>
    <t>Left</t>
  </si>
  <si>
    <t>Right</t>
  </si>
  <si>
    <t>LEFT(J16,6)</t>
  </si>
  <si>
    <t>RIGHT(J18,6)</t>
  </si>
  <si>
    <t>Mid</t>
  </si>
  <si>
    <t>Lower</t>
  </si>
  <si>
    <t>Upper</t>
  </si>
  <si>
    <t>Sagar-ARC1</t>
  </si>
  <si>
    <t>LEN</t>
  </si>
  <si>
    <t>Replace</t>
  </si>
  <si>
    <t>REPLACE(J28,7,4,"DA30")</t>
  </si>
  <si>
    <t>REPLACE(J28,5,1,"XYZ")</t>
  </si>
  <si>
    <t>REPLACE(J28,1,5,"T")</t>
  </si>
  <si>
    <t>LEN(J26)</t>
  </si>
  <si>
    <t>MID(J20,3,2)</t>
  </si>
  <si>
    <t>Formula</t>
  </si>
  <si>
    <t>Sagar	 -ARC</t>
  </si>
  <si>
    <t>Data Type</t>
  </si>
  <si>
    <t>Text</t>
  </si>
  <si>
    <t>Da30</t>
  </si>
  <si>
    <t>Number</t>
  </si>
  <si>
    <t>Currency</t>
  </si>
  <si>
    <t>Accounting</t>
  </si>
  <si>
    <t>Short date</t>
  </si>
  <si>
    <t>Long Date</t>
  </si>
  <si>
    <t>Time</t>
  </si>
  <si>
    <t>percentage</t>
  </si>
  <si>
    <t>fraction</t>
  </si>
  <si>
    <t>0.5 * 100</t>
  </si>
  <si>
    <t>0.2 * 100</t>
  </si>
  <si>
    <t>0.2 * 100 / 100 = 100</t>
  </si>
  <si>
    <t>20  = 100 *100</t>
  </si>
  <si>
    <t>20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</si>
</sst>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8" formatCode="&quot;₹&quot;\ #,##0.00"/>
    <numFmt numFmtId="169" formatCode="[$-F800]dddd\,\ mmmm\ dd\,\ yyyy"/>
    <numFmt numFmtId="170" formatCode="[$-F400]h:mm:ss\ AM/PM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/>
    <xf numFmtId="1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15" fontId="0" fillId="0" borderId="0" xfId="0" applyNumberFormat="1"/>
    <xf numFmtId="9" fontId="0" fillId="0" borderId="0" xfId="0" applyNumberFormat="1"/>
    <xf numFmtId="0" fontId="0" fillId="5" borderId="3" xfId="0" applyFill="1" applyBorder="1"/>
    <xf numFmtId="20" fontId="0" fillId="6" borderId="1" xfId="0" applyNumberFormat="1" applyFill="1" applyBorder="1"/>
    <xf numFmtId="1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/>
    <xf numFmtId="2" fontId="0" fillId="0" borderId="0" xfId="0" applyNumberFormat="1"/>
    <xf numFmtId="168" fontId="0" fillId="0" borderId="0" xfId="0" applyNumberFormat="1"/>
    <xf numFmtId="44" fontId="0" fillId="0" borderId="0" xfId="0" applyNumberFormat="1"/>
    <xf numFmtId="14" fontId="0" fillId="0" borderId="0" xfId="0" applyNumberFormat="1"/>
    <xf numFmtId="169" fontId="0" fillId="0" borderId="0" xfId="0" applyNumberFormat="1"/>
    <xf numFmtId="170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5"/>
  <sheetViews>
    <sheetView zoomScaleNormal="100" workbookViewId="0">
      <selection activeCell="I20" sqref="I20"/>
    </sheetView>
  </sheetViews>
  <sheetFormatPr defaultRowHeight="14.4" x14ac:dyDescent="0.3"/>
  <cols>
    <col min="8" max="8" width="5.88671875" customWidth="1"/>
    <col min="9" max="9" width="13.77734375" customWidth="1"/>
    <col min="10" max="10" width="8.21875" customWidth="1"/>
    <col min="11" max="11" width="31.77734375" customWidth="1"/>
  </cols>
  <sheetData>
    <row r="2" spans="1:26" x14ac:dyDescent="0.3">
      <c r="C2" t="s">
        <v>0</v>
      </c>
      <c r="F2" t="s">
        <v>0</v>
      </c>
    </row>
    <row r="3" spans="1:26" x14ac:dyDescent="0.3">
      <c r="A3" s="8"/>
      <c r="B3" s="8"/>
      <c r="C3" s="8"/>
      <c r="D3" s="8"/>
      <c r="E3" s="8"/>
    </row>
    <row r="4" spans="1:26" x14ac:dyDescent="0.3">
      <c r="A4" s="8"/>
      <c r="B4" s="8"/>
      <c r="C4" s="8"/>
      <c r="D4" s="8"/>
      <c r="E4" s="8"/>
    </row>
    <row r="5" spans="1:26" x14ac:dyDescent="0.3">
      <c r="A5" s="8"/>
      <c r="B5" s="8"/>
      <c r="C5" s="8"/>
      <c r="D5" s="8"/>
      <c r="E5" s="8"/>
      <c r="Y5" t="s">
        <v>21</v>
      </c>
      <c r="Z5" t="s">
        <v>22</v>
      </c>
    </row>
    <row r="6" spans="1:26" x14ac:dyDescent="0.3">
      <c r="Y6">
        <v>1</v>
      </c>
      <c r="Z6" t="s">
        <v>23</v>
      </c>
    </row>
    <row r="7" spans="1:26" x14ac:dyDescent="0.3">
      <c r="Y7">
        <v>2</v>
      </c>
      <c r="Z7" t="s">
        <v>24</v>
      </c>
    </row>
    <row r="8" spans="1:26" x14ac:dyDescent="0.3">
      <c r="I8" t="s">
        <v>18</v>
      </c>
      <c r="J8" t="s">
        <v>19</v>
      </c>
      <c r="K8" t="s">
        <v>20</v>
      </c>
      <c r="Y8">
        <v>3</v>
      </c>
      <c r="Z8" t="s">
        <v>24</v>
      </c>
    </row>
    <row r="9" spans="1:26" x14ac:dyDescent="0.3">
      <c r="I9">
        <v>1</v>
      </c>
    </row>
    <row r="10" spans="1:26" x14ac:dyDescent="0.3">
      <c r="K10" t="s">
        <v>18</v>
      </c>
    </row>
    <row r="11" spans="1:26" x14ac:dyDescent="0.3">
      <c r="I11" t="s">
        <v>18</v>
      </c>
      <c r="J11">
        <v>2</v>
      </c>
      <c r="K11">
        <v>2</v>
      </c>
    </row>
    <row r="12" spans="1:26" x14ac:dyDescent="0.3">
      <c r="I12" t="s">
        <v>17</v>
      </c>
    </row>
    <row r="14" spans="1:26" x14ac:dyDescent="0.3">
      <c r="J14" t="s">
        <v>17</v>
      </c>
      <c r="K14" t="s">
        <v>20</v>
      </c>
    </row>
    <row r="16" spans="1:26" ht="21.6" customHeight="1" x14ac:dyDescent="0.3"/>
    <row r="17" spans="1:15" ht="24" customHeight="1" x14ac:dyDescent="0.3"/>
    <row r="19" spans="1:15" ht="21" x14ac:dyDescent="0.4">
      <c r="H19" s="1" t="s">
        <v>1</v>
      </c>
      <c r="I19" s="1" t="s">
        <v>2</v>
      </c>
      <c r="J19" s="1" t="s">
        <v>3</v>
      </c>
      <c r="K19" s="1" t="s">
        <v>11</v>
      </c>
      <c r="L19" s="2"/>
      <c r="M19" s="3"/>
      <c r="N19" s="2" t="s">
        <v>9</v>
      </c>
      <c r="O19" s="2"/>
    </row>
    <row r="20" spans="1:15" ht="42" x14ac:dyDescent="0.4">
      <c r="A20" t="s">
        <v>18</v>
      </c>
      <c r="B20" t="s">
        <v>19</v>
      </c>
      <c r="C20" t="s">
        <v>20</v>
      </c>
      <c r="D20" t="s">
        <v>25</v>
      </c>
      <c r="H20" s="4">
        <v>1</v>
      </c>
      <c r="I20" s="5" t="s">
        <v>4</v>
      </c>
      <c r="J20" s="4">
        <v>5</v>
      </c>
      <c r="K20" s="6" t="s">
        <v>12</v>
      </c>
      <c r="L20" s="2"/>
      <c r="M20" s="7"/>
      <c r="N20" s="2" t="s">
        <v>10</v>
      </c>
      <c r="O20" s="2"/>
    </row>
    <row r="21" spans="1:15" ht="42" x14ac:dyDescent="0.4">
      <c r="H21" s="4">
        <v>2</v>
      </c>
      <c r="I21" s="5" t="s">
        <v>5</v>
      </c>
      <c r="J21" s="4">
        <v>10</v>
      </c>
      <c r="K21" s="6" t="s">
        <v>13</v>
      </c>
      <c r="L21" s="2"/>
      <c r="M21" s="2"/>
      <c r="N21" s="2"/>
      <c r="O21" s="2"/>
    </row>
    <row r="22" spans="1:15" ht="42" x14ac:dyDescent="0.4">
      <c r="H22" s="4">
        <v>3</v>
      </c>
      <c r="I22" s="5" t="s">
        <v>6</v>
      </c>
      <c r="J22" s="4">
        <v>15</v>
      </c>
      <c r="K22" s="6" t="s">
        <v>14</v>
      </c>
      <c r="L22" s="2"/>
      <c r="M22" s="2"/>
      <c r="N22" s="2"/>
      <c r="O22" s="2"/>
    </row>
    <row r="23" spans="1:15" ht="42" x14ac:dyDescent="0.4">
      <c r="H23" s="4">
        <v>4</v>
      </c>
      <c r="I23" s="5" t="s">
        <v>7</v>
      </c>
      <c r="J23" s="4">
        <v>20</v>
      </c>
      <c r="K23" s="6" t="s">
        <v>15</v>
      </c>
      <c r="L23" s="2"/>
      <c r="M23" s="2"/>
      <c r="N23" s="2"/>
      <c r="O23" s="2"/>
    </row>
    <row r="24" spans="1:15" ht="42" x14ac:dyDescent="0.4">
      <c r="H24" s="4">
        <v>5</v>
      </c>
      <c r="I24" s="5" t="s">
        <v>8</v>
      </c>
      <c r="J24" s="4">
        <v>50</v>
      </c>
      <c r="K24" s="6" t="s">
        <v>16</v>
      </c>
      <c r="L24" s="2"/>
      <c r="M24" s="2"/>
      <c r="N24" s="2"/>
      <c r="O24" s="2"/>
    </row>
    <row r="25" spans="1:15" ht="21" x14ac:dyDescent="0.4">
      <c r="H25" s="2"/>
      <c r="I25" s="2"/>
      <c r="J25" s="2"/>
      <c r="K25" s="2"/>
      <c r="L25" s="2"/>
      <c r="M25" s="2"/>
      <c r="N25" s="2"/>
      <c r="O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546-E44B-4775-9AFA-C264066F98E1}">
  <dimension ref="C3:K6"/>
  <sheetViews>
    <sheetView zoomScale="145" zoomScaleNormal="145" workbookViewId="0">
      <selection activeCell="J4" sqref="J4"/>
    </sheetView>
  </sheetViews>
  <sheetFormatPr defaultRowHeight="14.4" x14ac:dyDescent="0.3"/>
  <sheetData>
    <row r="3" spans="3:11" x14ac:dyDescent="0.3">
      <c r="C3" s="9" t="s">
        <v>18</v>
      </c>
      <c r="D3" s="9" t="s">
        <v>19</v>
      </c>
      <c r="E3" s="10" t="s">
        <v>26</v>
      </c>
      <c r="F3" s="10" t="s">
        <v>27</v>
      </c>
      <c r="G3" s="10" t="s">
        <v>28</v>
      </c>
      <c r="H3" s="10" t="s">
        <v>29</v>
      </c>
      <c r="J3" s="11" t="s">
        <v>30</v>
      </c>
      <c r="K3" s="11" t="s">
        <v>31</v>
      </c>
    </row>
    <row r="4" spans="3:11" x14ac:dyDescent="0.3">
      <c r="C4" s="9">
        <v>10</v>
      </c>
      <c r="D4" s="9"/>
      <c r="E4" s="10">
        <f>C4+D4</f>
        <v>10</v>
      </c>
      <c r="F4" s="10">
        <f>C4-D4</f>
        <v>10</v>
      </c>
      <c r="G4" s="10" t="e">
        <f>C4/D4</f>
        <v>#DIV/0!</v>
      </c>
      <c r="H4" s="10">
        <f>C4*D4</f>
        <v>0</v>
      </c>
    </row>
    <row r="6" spans="3:11" x14ac:dyDescent="0.3">
      <c r="J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CFFD-A2EA-42AF-ACB2-01BC60EFBCCB}">
  <dimension ref="C1:W15"/>
  <sheetViews>
    <sheetView topLeftCell="N4" zoomScale="175" zoomScaleNormal="175" workbookViewId="0">
      <selection activeCell="X10" sqref="X10:Z20"/>
    </sheetView>
  </sheetViews>
  <sheetFormatPr defaultRowHeight="14.4" x14ac:dyDescent="0.3"/>
  <cols>
    <col min="3" max="3" width="10.6640625" customWidth="1"/>
    <col min="4" max="4" width="16.33203125" customWidth="1"/>
    <col min="5" max="5" width="17.77734375" customWidth="1"/>
    <col min="6" max="6" width="13.5546875" customWidth="1"/>
    <col min="7" max="7" width="11.44140625" customWidth="1"/>
    <col min="8" max="8" width="9.88671875" customWidth="1"/>
    <col min="9" max="9" width="12" customWidth="1"/>
    <col min="10" max="10" width="13.6640625" customWidth="1"/>
    <col min="11" max="11" width="10.88671875" customWidth="1"/>
    <col min="12" max="12" width="19.88671875" customWidth="1"/>
    <col min="13" max="13" width="13.77734375" bestFit="1" customWidth="1"/>
    <col min="14" max="14" width="13.77734375" customWidth="1"/>
    <col min="15" max="15" width="13.88671875" bestFit="1" customWidth="1"/>
  </cols>
  <sheetData>
    <row r="1" spans="3:23" x14ac:dyDescent="0.3">
      <c r="M1" t="s">
        <v>68</v>
      </c>
      <c r="N1" s="13" t="s">
        <v>75</v>
      </c>
    </row>
    <row r="2" spans="3:23" x14ac:dyDescent="0.3">
      <c r="C2" s="12">
        <v>46083</v>
      </c>
      <c r="M2" s="13">
        <v>0.2</v>
      </c>
      <c r="N2" s="13">
        <v>0.05</v>
      </c>
      <c r="Q2" t="s">
        <v>77</v>
      </c>
      <c r="R2">
        <f>SUMPRODUCT(O6:O11,R6:R11)</f>
        <v>1848</v>
      </c>
    </row>
    <row r="3" spans="3:23" x14ac:dyDescent="0.3">
      <c r="W3" t="s">
        <v>78</v>
      </c>
    </row>
    <row r="4" spans="3:23" x14ac:dyDescent="0.3">
      <c r="W4" t="s">
        <v>79</v>
      </c>
    </row>
    <row r="5" spans="3:23" x14ac:dyDescent="0.3"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33</v>
      </c>
      <c r="I5" s="9" t="s">
        <v>34</v>
      </c>
      <c r="J5" s="9" t="s">
        <v>35</v>
      </c>
      <c r="K5" s="9" t="s">
        <v>36</v>
      </c>
      <c r="L5" s="9" t="s">
        <v>37</v>
      </c>
      <c r="M5" s="14" t="s">
        <v>68</v>
      </c>
      <c r="N5" s="14" t="s">
        <v>75</v>
      </c>
      <c r="O5" s="14" t="s">
        <v>69</v>
      </c>
      <c r="P5" s="14" t="s">
        <v>73</v>
      </c>
      <c r="Q5" s="14" t="s">
        <v>74</v>
      </c>
      <c r="R5" s="14" t="s">
        <v>76</v>
      </c>
      <c r="S5" s="14" t="s">
        <v>77</v>
      </c>
      <c r="T5" t="s">
        <v>73</v>
      </c>
      <c r="W5" cm="1">
        <f t="array" ref="W5:W10">O6:O11</f>
        <v>72</v>
      </c>
    </row>
    <row r="6" spans="3:23" x14ac:dyDescent="0.3">
      <c r="C6" s="10">
        <v>101</v>
      </c>
      <c r="D6" s="10" t="s">
        <v>43</v>
      </c>
      <c r="E6" s="10">
        <v>20</v>
      </c>
      <c r="F6" s="10" t="s">
        <v>49</v>
      </c>
      <c r="G6" s="10" t="s">
        <v>53</v>
      </c>
      <c r="H6" s="10">
        <v>60</v>
      </c>
      <c r="I6" s="10" t="s">
        <v>59</v>
      </c>
      <c r="J6" s="10" t="s">
        <v>60</v>
      </c>
      <c r="K6" s="15">
        <v>0.83333333333333337</v>
      </c>
      <c r="L6" s="10" t="s">
        <v>65</v>
      </c>
      <c r="M6">
        <f>$H6*M$2</f>
        <v>12</v>
      </c>
      <c r="N6">
        <f>$H6*N$2</f>
        <v>3</v>
      </c>
      <c r="O6">
        <f>M6+H6</f>
        <v>72</v>
      </c>
      <c r="P6">
        <f>_xlfn.RANK.AVG(O6,$O$6:$O$11,0)</f>
        <v>3.5</v>
      </c>
      <c r="Q6">
        <f>_xlfn.RANK.EQ(O6,O$6:O$11,0)</f>
        <v>3</v>
      </c>
      <c r="R6">
        <v>2</v>
      </c>
      <c r="S6">
        <f>R6*O6</f>
        <v>144</v>
      </c>
      <c r="T6">
        <v>3.5</v>
      </c>
      <c r="U6">
        <f ca="1">RAND()</f>
        <v>0.14026736340975166</v>
      </c>
      <c r="V6">
        <f ca="1">U6*10</f>
        <v>1.4026736340975166</v>
      </c>
      <c r="W6">
        <v>60</v>
      </c>
    </row>
    <row r="7" spans="3:23" x14ac:dyDescent="0.3">
      <c r="C7" s="10">
        <v>102</v>
      </c>
      <c r="D7" s="10" t="s">
        <v>44</v>
      </c>
      <c r="E7" s="10">
        <v>30</v>
      </c>
      <c r="F7" s="10" t="s">
        <v>50</v>
      </c>
      <c r="G7" s="10" t="s">
        <v>54</v>
      </c>
      <c r="H7" s="10">
        <v>50</v>
      </c>
      <c r="I7" s="10" t="s">
        <v>62</v>
      </c>
      <c r="J7" s="10" t="s">
        <v>61</v>
      </c>
      <c r="K7" s="15">
        <v>0.64583333333333337</v>
      </c>
      <c r="L7" s="10" t="s">
        <v>66</v>
      </c>
      <c r="M7">
        <f t="shared" ref="M7:N11" si="0">$H7*M$2</f>
        <v>10</v>
      </c>
      <c r="N7">
        <f t="shared" si="0"/>
        <v>2.5</v>
      </c>
      <c r="O7">
        <f t="shared" ref="O7:O10" si="1">M7+H7</f>
        <v>60</v>
      </c>
      <c r="P7">
        <f t="shared" ref="P7:P11" si="2">_xlfn.RANK.AVG(O7,$O$6:$O$11,0)</f>
        <v>5</v>
      </c>
      <c r="Q7">
        <f t="shared" ref="Q7:Q11" si="3">_xlfn.RANK.EQ(O7,O$6:O$11,0)</f>
        <v>5</v>
      </c>
      <c r="R7">
        <v>4</v>
      </c>
      <c r="S7">
        <f t="shared" ref="S7:S11" si="4">R7*O7</f>
        <v>240</v>
      </c>
      <c r="T7">
        <v>5</v>
      </c>
      <c r="U7">
        <f ca="1">RAND()</f>
        <v>0.66269618865485158</v>
      </c>
      <c r="V7">
        <f ca="1">U7*100</f>
        <v>66.269618865485157</v>
      </c>
      <c r="W7">
        <v>120</v>
      </c>
    </row>
    <row r="8" spans="3:23" x14ac:dyDescent="0.3">
      <c r="C8" s="10">
        <v>103</v>
      </c>
      <c r="D8" s="10" t="s">
        <v>45</v>
      </c>
      <c r="E8" s="10">
        <v>50</v>
      </c>
      <c r="F8" s="10" t="s">
        <v>51</v>
      </c>
      <c r="G8" s="10" t="s">
        <v>55</v>
      </c>
      <c r="H8" s="10">
        <v>100</v>
      </c>
      <c r="I8" s="10" t="s">
        <v>59</v>
      </c>
      <c r="J8" s="10" t="s">
        <v>63</v>
      </c>
      <c r="K8" s="15">
        <v>0.34027777777777779</v>
      </c>
      <c r="L8" s="10" t="s">
        <v>67</v>
      </c>
      <c r="M8">
        <f t="shared" si="0"/>
        <v>20</v>
      </c>
      <c r="N8">
        <f t="shared" si="0"/>
        <v>5</v>
      </c>
      <c r="O8">
        <f t="shared" si="1"/>
        <v>120</v>
      </c>
      <c r="P8">
        <f t="shared" si="2"/>
        <v>2</v>
      </c>
      <c r="Q8">
        <f t="shared" si="3"/>
        <v>2</v>
      </c>
      <c r="R8">
        <v>5</v>
      </c>
      <c r="S8">
        <f t="shared" si="4"/>
        <v>600</v>
      </c>
      <c r="T8">
        <v>2</v>
      </c>
      <c r="U8">
        <f ca="1">RAND()</f>
        <v>0.91157559167357383</v>
      </c>
      <c r="V8" s="16">
        <f ca="1">U8*100</f>
        <v>91.157559167357377</v>
      </c>
      <c r="W8">
        <v>144</v>
      </c>
    </row>
    <row r="9" spans="3:23" x14ac:dyDescent="0.3">
      <c r="C9" s="10">
        <v>104</v>
      </c>
      <c r="D9" s="10" t="s">
        <v>46</v>
      </c>
      <c r="E9" s="10">
        <v>40</v>
      </c>
      <c r="F9" s="10" t="s">
        <v>51</v>
      </c>
      <c r="G9" s="10" t="s">
        <v>56</v>
      </c>
      <c r="H9" s="10">
        <v>120</v>
      </c>
      <c r="I9" s="10" t="s">
        <v>63</v>
      </c>
      <c r="J9" s="10" t="s">
        <v>61</v>
      </c>
      <c r="K9" s="15">
        <v>2.361111111111111E-2</v>
      </c>
      <c r="L9" s="10" t="s">
        <v>67</v>
      </c>
      <c r="M9">
        <f t="shared" si="0"/>
        <v>24</v>
      </c>
      <c r="N9">
        <f t="shared" si="0"/>
        <v>6</v>
      </c>
      <c r="O9">
        <f t="shared" si="1"/>
        <v>144</v>
      </c>
      <c r="P9">
        <f t="shared" si="2"/>
        <v>1</v>
      </c>
      <c r="Q9">
        <f t="shared" si="3"/>
        <v>1</v>
      </c>
      <c r="R9">
        <v>1</v>
      </c>
      <c r="S9">
        <f t="shared" si="4"/>
        <v>144</v>
      </c>
      <c r="T9">
        <v>1</v>
      </c>
      <c r="U9">
        <f ca="1">RAND()</f>
        <v>0.3729033893294752</v>
      </c>
      <c r="W9">
        <v>36</v>
      </c>
    </row>
    <row r="10" spans="3:23" x14ac:dyDescent="0.3">
      <c r="C10" s="10">
        <v>105</v>
      </c>
      <c r="D10" s="10" t="s">
        <v>47</v>
      </c>
      <c r="E10" s="10">
        <v>10</v>
      </c>
      <c r="F10" s="10" t="s">
        <v>50</v>
      </c>
      <c r="G10" s="10" t="s">
        <v>57</v>
      </c>
      <c r="H10" s="10">
        <v>30</v>
      </c>
      <c r="I10" s="10" t="s">
        <v>59</v>
      </c>
      <c r="J10" s="10" t="s">
        <v>64</v>
      </c>
      <c r="K10" s="15">
        <v>0.99652777777777779</v>
      </c>
      <c r="L10" s="10" t="s">
        <v>65</v>
      </c>
      <c r="M10">
        <f t="shared" si="0"/>
        <v>6</v>
      </c>
      <c r="N10">
        <f t="shared" si="0"/>
        <v>1.5</v>
      </c>
      <c r="O10">
        <f t="shared" si="1"/>
        <v>36</v>
      </c>
      <c r="P10">
        <f t="shared" si="2"/>
        <v>6</v>
      </c>
      <c r="Q10">
        <f t="shared" si="3"/>
        <v>6</v>
      </c>
      <c r="R10">
        <v>2</v>
      </c>
      <c r="S10">
        <f t="shared" si="4"/>
        <v>72</v>
      </c>
      <c r="T10">
        <v>6</v>
      </c>
      <c r="W10">
        <v>72</v>
      </c>
    </row>
    <row r="11" spans="3:23" x14ac:dyDescent="0.3">
      <c r="C11" s="10">
        <v>106</v>
      </c>
      <c r="D11" s="10" t="s">
        <v>48</v>
      </c>
      <c r="E11" s="10">
        <v>30</v>
      </c>
      <c r="F11" s="10" t="s">
        <v>52</v>
      </c>
      <c r="G11" s="10" t="s">
        <v>58</v>
      </c>
      <c r="H11" s="10">
        <v>60</v>
      </c>
      <c r="I11" s="10" t="s">
        <v>64</v>
      </c>
      <c r="J11" s="10" t="s">
        <v>61</v>
      </c>
      <c r="K11" s="15">
        <v>0.50347222222222221</v>
      </c>
      <c r="L11" s="10" t="s">
        <v>66</v>
      </c>
      <c r="M11">
        <f t="shared" si="0"/>
        <v>12</v>
      </c>
      <c r="N11">
        <f>$H11*N$2</f>
        <v>3</v>
      </c>
      <c r="O11">
        <f>M11+H11</f>
        <v>72</v>
      </c>
      <c r="P11">
        <f t="shared" si="2"/>
        <v>3.5</v>
      </c>
      <c r="Q11">
        <f t="shared" si="3"/>
        <v>3</v>
      </c>
      <c r="R11">
        <v>9</v>
      </c>
      <c r="S11">
        <f t="shared" si="4"/>
        <v>648</v>
      </c>
      <c r="T11">
        <v>3.5</v>
      </c>
    </row>
    <row r="12" spans="3:23" x14ac:dyDescent="0.3">
      <c r="C12" t="s">
        <v>70</v>
      </c>
      <c r="E12">
        <f>MIN(E6:E11)</f>
        <v>10</v>
      </c>
      <c r="S12">
        <f>SUM(S6:S11)</f>
        <v>1848</v>
      </c>
      <c r="U12">
        <v>9.4182371799356956E-2</v>
      </c>
      <c r="V12">
        <v>0.94182371799356956</v>
      </c>
    </row>
    <row r="13" spans="3:23" x14ac:dyDescent="0.3">
      <c r="C13" t="s">
        <v>71</v>
      </c>
      <c r="E13">
        <f>MAX(E6:E11)</f>
        <v>50</v>
      </c>
      <c r="U13">
        <v>8.495419165230611E-2</v>
      </c>
      <c r="V13">
        <v>8.4954191652306115</v>
      </c>
    </row>
    <row r="14" spans="3:23" x14ac:dyDescent="0.3">
      <c r="C14" t="s">
        <v>72</v>
      </c>
      <c r="E14">
        <f>AVERAGE(E6:E11)</f>
        <v>30</v>
      </c>
      <c r="U14">
        <v>0.62532037154680364</v>
      </c>
      <c r="V14">
        <v>62.532037154680367</v>
      </c>
    </row>
    <row r="15" spans="3:23" x14ac:dyDescent="0.3">
      <c r="U15">
        <v>0.83426900592425446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2D0E-2B7F-43F3-9F0D-0396FE698D36}">
  <dimension ref="G3:M35"/>
  <sheetViews>
    <sheetView topLeftCell="E25" zoomScale="175" zoomScaleNormal="175" workbookViewId="0">
      <selection activeCell="J9" sqref="J9"/>
    </sheetView>
  </sheetViews>
  <sheetFormatPr defaultRowHeight="14.4" x14ac:dyDescent="0.3"/>
  <cols>
    <col min="10" max="10" width="24.109375" customWidth="1"/>
    <col min="12" max="12" width="13.33203125" bestFit="1" customWidth="1"/>
    <col min="13" max="13" width="24.109375" style="18" customWidth="1"/>
  </cols>
  <sheetData>
    <row r="3" spans="7:13" x14ac:dyDescent="0.3">
      <c r="G3" t="s">
        <v>83</v>
      </c>
      <c r="J3" t="s">
        <v>84</v>
      </c>
      <c r="L3" t="s">
        <v>111</v>
      </c>
      <c r="M3" s="18" t="s">
        <v>85</v>
      </c>
    </row>
    <row r="4" spans="7:13" ht="28.8" x14ac:dyDescent="0.3">
      <c r="G4" t="s">
        <v>86</v>
      </c>
      <c r="J4">
        <v>5</v>
      </c>
      <c r="M4" s="19" t="str">
        <f>_xlfn.CONCAT(J$7,CHAR(10),"-",J$6)</f>
        <v>Sagar
-ARC</v>
      </c>
    </row>
    <row r="6" spans="7:13" x14ac:dyDescent="0.3">
      <c r="G6" t="s">
        <v>87</v>
      </c>
      <c r="J6" t="s">
        <v>88</v>
      </c>
      <c r="M6" s="19" t="str">
        <f>_xlfn.CONCAT(J$7," - ",J$6)</f>
        <v>Sagar - ARC</v>
      </c>
    </row>
    <row r="7" spans="7:13" x14ac:dyDescent="0.3">
      <c r="J7" t="s">
        <v>89</v>
      </c>
    </row>
    <row r="9" spans="7:13" x14ac:dyDescent="0.3">
      <c r="G9" t="s">
        <v>90</v>
      </c>
      <c r="J9" t="s">
        <v>112</v>
      </c>
      <c r="M9" s="18" t="str">
        <f>CLEAN(J9)</f>
        <v>Sagar -ARC</v>
      </c>
    </row>
    <row r="11" spans="7:13" x14ac:dyDescent="0.3">
      <c r="G11" t="s">
        <v>91</v>
      </c>
      <c r="M11" s="18" t="b">
        <f>EXACT(M4,M9)</f>
        <v>0</v>
      </c>
    </row>
    <row r="13" spans="7:13" x14ac:dyDescent="0.3">
      <c r="G13" t="s">
        <v>93</v>
      </c>
      <c r="J13" t="s">
        <v>92</v>
      </c>
      <c r="L13" t="s">
        <v>94</v>
      </c>
      <c r="M13" s="18">
        <f>FIND("A",J13)</f>
        <v>7</v>
      </c>
    </row>
    <row r="14" spans="7:13" x14ac:dyDescent="0.3">
      <c r="L14" t="s">
        <v>95</v>
      </c>
      <c r="M14" s="18">
        <f>FIND("a",J13,3)</f>
        <v>4</v>
      </c>
    </row>
    <row r="16" spans="7:13" x14ac:dyDescent="0.3">
      <c r="G16" t="s">
        <v>96</v>
      </c>
      <c r="J16" t="s">
        <v>92</v>
      </c>
      <c r="L16" t="s">
        <v>98</v>
      </c>
      <c r="M16" s="18" t="str">
        <f>LEFT(J16,6)</f>
        <v>Sagar-</v>
      </c>
    </row>
    <row r="18" spans="7:13" x14ac:dyDescent="0.3">
      <c r="G18" t="s">
        <v>97</v>
      </c>
      <c r="J18" t="s">
        <v>92</v>
      </c>
      <c r="L18" t="s">
        <v>99</v>
      </c>
      <c r="M18" s="18" t="str">
        <f>RIGHT(J18,6)</f>
        <v>ar-ARC</v>
      </c>
    </row>
    <row r="20" spans="7:13" x14ac:dyDescent="0.3">
      <c r="G20" t="s">
        <v>100</v>
      </c>
      <c r="J20" t="s">
        <v>92</v>
      </c>
      <c r="L20" t="s">
        <v>110</v>
      </c>
      <c r="M20" s="18" t="str">
        <f>MID(J20,3,2)</f>
        <v>ga</v>
      </c>
    </row>
    <row r="22" spans="7:13" x14ac:dyDescent="0.3">
      <c r="G22" t="s">
        <v>101</v>
      </c>
      <c r="J22" t="s">
        <v>103</v>
      </c>
      <c r="L22" t="s">
        <v>101</v>
      </c>
      <c r="M22" s="18" t="str">
        <f>LOWER(J22)</f>
        <v>sagar-arc1</v>
      </c>
    </row>
    <row r="24" spans="7:13" x14ac:dyDescent="0.3">
      <c r="G24" t="s">
        <v>102</v>
      </c>
      <c r="J24" t="s">
        <v>103</v>
      </c>
      <c r="L24" t="s">
        <v>102</v>
      </c>
      <c r="M24" s="18" t="str">
        <f>UPPER(J24)</f>
        <v>SAGAR-ARC1</v>
      </c>
    </row>
    <row r="26" spans="7:13" x14ac:dyDescent="0.3">
      <c r="G26" t="s">
        <v>104</v>
      </c>
      <c r="J26" t="s">
        <v>103</v>
      </c>
      <c r="L26" t="s">
        <v>109</v>
      </c>
      <c r="M26" s="18">
        <f>LEN(J26)</f>
        <v>10</v>
      </c>
    </row>
    <row r="28" spans="7:13" x14ac:dyDescent="0.3">
      <c r="G28" t="s">
        <v>105</v>
      </c>
      <c r="J28" t="s">
        <v>103</v>
      </c>
      <c r="L28" t="s">
        <v>108</v>
      </c>
      <c r="M28" s="18" t="str">
        <f>REPLACE(J28,1,5,"T")</f>
        <v>T-ARC1</v>
      </c>
    </row>
    <row r="30" spans="7:13" x14ac:dyDescent="0.3">
      <c r="L30" t="s">
        <v>106</v>
      </c>
      <c r="M30" s="18" t="str">
        <f>REPLACE(J28,7,4,"DA30")</f>
        <v>Sagar-DA30</v>
      </c>
    </row>
    <row r="32" spans="7:13" x14ac:dyDescent="0.3">
      <c r="L32" t="s">
        <v>107</v>
      </c>
      <c r="M32" s="18" t="str">
        <f>REPLACE(J28,5,1,"XYZ")</f>
        <v>SagaXYZ-ARC1</v>
      </c>
    </row>
    <row r="35" spans="13:13" x14ac:dyDescent="0.3">
      <c r="M35" s="18" t="e" cm="1">
        <f t="array" ref="M35">cle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1ED9-DEFA-4262-A204-470E7CA7853B}">
  <dimension ref="H4:O26"/>
  <sheetViews>
    <sheetView tabSelected="1" topLeftCell="B13" zoomScale="130" zoomScaleNormal="130" workbookViewId="0">
      <selection activeCell="K18" sqref="K18"/>
    </sheetView>
  </sheetViews>
  <sheetFormatPr defaultRowHeight="14.4" x14ac:dyDescent="0.3"/>
  <cols>
    <col min="8" max="8" width="10.33203125" bestFit="1" customWidth="1"/>
    <col min="11" max="11" width="24.77734375" customWidth="1"/>
    <col min="15" max="15" width="20" bestFit="1" customWidth="1"/>
  </cols>
  <sheetData>
    <row r="4" spans="8:11" x14ac:dyDescent="0.3">
      <c r="H4" t="s">
        <v>113</v>
      </c>
      <c r="K4" t="s">
        <v>84</v>
      </c>
    </row>
    <row r="6" spans="8:11" x14ac:dyDescent="0.3">
      <c r="H6" t="s">
        <v>114</v>
      </c>
      <c r="K6" s="20" t="s">
        <v>115</v>
      </c>
    </row>
    <row r="8" spans="8:11" x14ac:dyDescent="0.3">
      <c r="H8" t="s">
        <v>116</v>
      </c>
      <c r="K8" s="16">
        <v>123</v>
      </c>
    </row>
    <row r="10" spans="8:11" x14ac:dyDescent="0.3">
      <c r="H10" t="s">
        <v>116</v>
      </c>
      <c r="K10" s="21">
        <v>12.5</v>
      </c>
    </row>
    <row r="12" spans="8:11" x14ac:dyDescent="0.3">
      <c r="H12" t="s">
        <v>117</v>
      </c>
      <c r="K12" s="22">
        <v>125.6</v>
      </c>
    </row>
    <row r="14" spans="8:11" x14ac:dyDescent="0.3">
      <c r="H14" t="s">
        <v>118</v>
      </c>
      <c r="K14" s="23">
        <v>75.599999999999994</v>
      </c>
    </row>
    <row r="16" spans="8:11" x14ac:dyDescent="0.3">
      <c r="H16" t="s">
        <v>119</v>
      </c>
      <c r="K16" s="24">
        <v>46090</v>
      </c>
    </row>
    <row r="18" spans="8:15" x14ac:dyDescent="0.3">
      <c r="H18" t="s">
        <v>120</v>
      </c>
      <c r="K18" s="25">
        <v>46090</v>
      </c>
    </row>
    <row r="20" spans="8:15" x14ac:dyDescent="0.3">
      <c r="H20" t="s">
        <v>121</v>
      </c>
      <c r="K20" s="26">
        <v>46090</v>
      </c>
    </row>
    <row r="22" spans="8:15" x14ac:dyDescent="0.3">
      <c r="H22" t="s">
        <v>122</v>
      </c>
      <c r="K22" s="13">
        <v>2</v>
      </c>
      <c r="M22" s="13">
        <v>0.2</v>
      </c>
      <c r="N22" t="s">
        <v>125</v>
      </c>
      <c r="O22" t="s">
        <v>126</v>
      </c>
    </row>
    <row r="24" spans="8:15" x14ac:dyDescent="0.3">
      <c r="H24" t="s">
        <v>123</v>
      </c>
      <c r="K24" s="27">
        <v>0.5</v>
      </c>
      <c r="L24">
        <v>0.5</v>
      </c>
      <c r="M24" t="s">
        <v>124</v>
      </c>
      <c r="O24" t="s">
        <v>127</v>
      </c>
    </row>
    <row r="26" spans="8:15" x14ac:dyDescent="0.3">
      <c r="O26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7D6-F372-461A-AC71-14D7CE887D90}">
  <dimension ref="C3:C5"/>
  <sheetViews>
    <sheetView zoomScale="145" zoomScaleNormal="145" workbookViewId="0">
      <selection activeCell="C3" sqref="C3:L9"/>
    </sheetView>
  </sheetViews>
  <sheetFormatPr defaultRowHeight="14.4" x14ac:dyDescent="0.3"/>
  <cols>
    <col min="6" max="6" width="10.21875" bestFit="1" customWidth="1"/>
    <col min="7" max="7" width="17.44140625" bestFit="1" customWidth="1"/>
  </cols>
  <sheetData>
    <row r="3" spans="3:3" x14ac:dyDescent="0.3">
      <c r="C3" s="17" t="s">
        <v>80</v>
      </c>
    </row>
    <row r="4" spans="3:3" x14ac:dyDescent="0.3">
      <c r="C4" s="17" t="s">
        <v>81</v>
      </c>
    </row>
    <row r="5" spans="3:3" x14ac:dyDescent="0.3">
      <c r="C5" s="1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userdata</vt:lpstr>
      <vt:lpstr>math basic</vt:lpstr>
      <vt:lpstr>MAth basic 2</vt:lpstr>
      <vt:lpstr>Text method</vt:lpstr>
      <vt:lpstr>Sheet1</vt:lpstr>
      <vt:lpstr>promp1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divya rokade</cp:lastModifiedBy>
  <dcterms:created xsi:type="dcterms:W3CDTF">2015-06-05T18:17:20Z</dcterms:created>
  <dcterms:modified xsi:type="dcterms:W3CDTF">2026-03-09T03:13:13Z</dcterms:modified>
</cp:coreProperties>
</file>